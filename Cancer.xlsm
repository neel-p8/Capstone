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defaultThemeVersion="166925"/>
  <mc:AlternateContent xmlns:mc="http://schemas.openxmlformats.org/markup-compatibility/2006">
    <mc:Choice Requires="x15">
      <x15ac:absPath xmlns:x15ac="http://schemas.microsoft.com/office/spreadsheetml/2010/11/ac" url="https://d.docs.live.net/5acd8220cc41d0e2/Documents/College/UFlorida/Class Notes/Semester 1/MAD2502/Programs/Capstone/"/>
    </mc:Choice>
  </mc:AlternateContent>
  <xr:revisionPtr revIDLastSave="126" documentId="13_ncr:40009_{BDBD7A18-9D1A-4D0D-8E56-14066FF2F031}" xr6:coauthVersionLast="47" xr6:coauthVersionMax="47" xr10:uidLastSave="{EC84838E-C39D-4671-9C6E-911BC1C1E4EB}"/>
  <bookViews>
    <workbookView xWindow="768" yWindow="768" windowWidth="17280" windowHeight="8880" xr2:uid="{00000000-000D-0000-FFFF-FFFF00000000}"/>
  </bookViews>
  <sheets>
    <sheet name="Cancer"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 i="1" l="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alcChain>
</file>

<file path=xl/sharedStrings.xml><?xml version="1.0" encoding="utf-8"?>
<sst xmlns="http://schemas.openxmlformats.org/spreadsheetml/2006/main" count="172" uniqueCount="104">
  <si>
    <t>County</t>
  </si>
  <si>
    <t>Age-Adjusted Incidence Rate([rate note]) - cases per 100,000</t>
  </si>
  <si>
    <t>Lower 95% Confidence Interval</t>
  </si>
  <si>
    <t>Upper 95% Confidence Interval</t>
  </si>
  <si>
    <t>CI*Rank([rank note])</t>
  </si>
  <si>
    <t>Lower CI (CI*Rank)</t>
  </si>
  <si>
    <t>Upper CI (CI*Rank)</t>
  </si>
  <si>
    <t>Average Annual Count</t>
  </si>
  <si>
    <t>Recent Trend</t>
  </si>
  <si>
    <t>Recent 5-Year Trend ([trend note]) in Incidence Rates</t>
  </si>
  <si>
    <t xml:space="preserve">N/A </t>
  </si>
  <si>
    <t>falling</t>
  </si>
  <si>
    <t>stable</t>
  </si>
  <si>
    <t>rising</t>
  </si>
  <si>
    <t>Created by statecancerprofiles.cancer.gov on 11/29/2022 2:50 pm.</t>
  </si>
  <si>
    <t>State Cancer Registries may provide more current or more local data.</t>
  </si>
  <si>
    <t>Trend</t>
  </si>
  <si>
    <t xml:space="preserve">   Rising when 95% confidence interval of average annual percent change is above 0.</t>
  </si>
  <si>
    <t xml:space="preserve">   Stable when 95% confidence interval of average annual percent change includes 0.</t>
  </si>
  <si>
    <t xml:space="preserve">   Falling when 95% confidence interval of average annual percent change is below 0.</t>
  </si>
  <si>
    <t>[rate note] Incidence rates (cases per 100,000 population per year) are age-adjusted to the 2000 US standard population [http://www.seer.cancer.gov/stdpopulations/stdpop.19ages.html] (19 age groups: &lt;1, 1-4, 5-9, ... , 80-84, 85+). Rates are for invasive cancer only (except for bladder cancer which is invasive and in situ) or unless otherwise specified. Rates calculated using SEER*Stat. Population counts for denominators are based on Census populations as modified [https://seer.cancer.gov/popdata/] by NCI. The US Population Data File [https://seer.cancer.gov/popdata/] is used for SEER and NPCR incidence rates.</t>
  </si>
  <si>
    <t>[trend note] Incidence data come from different sources. Due to different years of data availability, most of the trends are AAPCs based on APCs but some are APCs calculated in SEER*Stat. Please refer to the source for each area for additional information.</t>
  </si>
  <si>
    <t>Rates and trends are computed using different standards for malignancy. For more information see malignant.html.</t>
  </si>
  <si>
    <t>^ All Stages refers to any stage in the Surveillance, Epidemiology, and End Results (SEER) summary stage [ https://seer.cancer.gov/tools/ssm/ ].</t>
  </si>
  <si>
    <t>[rank note]Results presented with the CI*Rank statistics help show the usefulness of ranks. For example, ranks for relatively rare diseases or less populated areas may be essentially meaningless because of their large variability, but ranks for more common diseases in densely populated regions can be very useful. More information about methodology can be found on the CI*Rank website.</t>
  </si>
  <si>
    <t>1 Source: National Program of Cancer Registries [ https://www.cdc.gov/cancer/npcr/index.htm ] and Surveillance, Epidemiology, and End Results [ http://seer.cancer.gov ] SEER*Stat Database (2001-2019) - United States Department of Health and Human Services, Centers for Disease Control and Prevention and National Cancer Institute. Based on the 2021 submission.</t>
  </si>
  <si>
    <t>6 Source: National Program of Cancer Registries SEER*Stat Database (2001-2019) - United States Department of Health and Human Services, Centers for Disease Control and Prevention (based on the 2021 submission).  [ https://www.cdc.gov/cancer/npcr/index.htm ]</t>
  </si>
  <si>
    <t xml:space="preserve">8 Source: Incidence data provided by the SEER Program. ( http://seer.cancer.gov ) AAPCs are calculated by the Joinpoint Regression Program ( https://surveillance.cancer.gov/joinpoint/ ) and are based on APCs. Data are age-adjusted to the 2000 US standard population ( http://www.seer.cancer.gov/stdpopulations/single_age.html ) (19 age groups: &lt;1, 1-4, 5-9, ... , 80-84,85+). Rates are for invasive cancer only (except for bladder cancer which is invasive and in situ) or unless otherwise specified. Population counts for denominators are based on Census populations as modifed by NCI. The US Population Data ( http://seer.cancer.gov/popdata/ ) File is used with SEER November 2021 data. </t>
  </si>
  <si>
    <t>Interpret Rankings provides insight into interpreting cancer incidence statistics.  When the population size for a denominator is small, the rates may be unstable.  A rate is unstable when a small change in the numerator (e.g., only one or two additional cases) has a dramatic effect on the calculated rate.</t>
  </si>
  <si>
    <t>Data for the United States does not include data from Nevada.</t>
  </si>
  <si>
    <t>Data for the United States does not include Puerto Rico.</t>
  </si>
  <si>
    <t>Florida</t>
  </si>
  <si>
    <t>Union County</t>
  </si>
  <si>
    <t>Nassau County</t>
  </si>
  <si>
    <t>Hernando County</t>
  </si>
  <si>
    <t>Citrus County</t>
  </si>
  <si>
    <t>Marion County</t>
  </si>
  <si>
    <t>Lake County</t>
  </si>
  <si>
    <t>Duval County</t>
  </si>
  <si>
    <t>Pasco County</t>
  </si>
  <si>
    <t>Indian River County</t>
  </si>
  <si>
    <t>Brevard County</t>
  </si>
  <si>
    <t>Columbia County</t>
  </si>
  <si>
    <t>Volusia County</t>
  </si>
  <si>
    <t>Escambia County</t>
  </si>
  <si>
    <t>Levy County</t>
  </si>
  <si>
    <t>Clay County</t>
  </si>
  <si>
    <t>Bay County</t>
  </si>
  <si>
    <t>St. Johns County</t>
  </si>
  <si>
    <t>Flagler County</t>
  </si>
  <si>
    <t>Putnam County</t>
  </si>
  <si>
    <t>Polk County</t>
  </si>
  <si>
    <t>Hillsborough County</t>
  </si>
  <si>
    <t>Pinellas County</t>
  </si>
  <si>
    <t>Dixie County</t>
  </si>
  <si>
    <t>Suwannee County</t>
  </si>
  <si>
    <t>Sarasota County</t>
  </si>
  <si>
    <t>Bradford County</t>
  </si>
  <si>
    <t>Santa Rosa County</t>
  </si>
  <si>
    <t>Highlands County</t>
  </si>
  <si>
    <t>Osceola County</t>
  </si>
  <si>
    <t>Wakulla County</t>
  </si>
  <si>
    <t>Charlotte County</t>
  </si>
  <si>
    <t>Seminole County</t>
  </si>
  <si>
    <t>Gilchrist County</t>
  </si>
  <si>
    <t>Alachua County</t>
  </si>
  <si>
    <t>Okeechobee County</t>
  </si>
  <si>
    <t>Hardee County</t>
  </si>
  <si>
    <t>Calhoun County</t>
  </si>
  <si>
    <t>Lafayette County</t>
  </si>
  <si>
    <t>Gadsden County</t>
  </si>
  <si>
    <t>Gulf County</t>
  </si>
  <si>
    <t>Manatee County</t>
  </si>
  <si>
    <t>St. Lucie County</t>
  </si>
  <si>
    <t>Sumter County</t>
  </si>
  <si>
    <t>Martin County</t>
  </si>
  <si>
    <t>Taylor County</t>
  </si>
  <si>
    <t>Okaloosa County</t>
  </si>
  <si>
    <t>Franklin County</t>
  </si>
  <si>
    <t>Baker County</t>
  </si>
  <si>
    <t>Broward County</t>
  </si>
  <si>
    <t>Miami-Dade County</t>
  </si>
  <si>
    <t>Palm Beach County</t>
  </si>
  <si>
    <t>Lee County</t>
  </si>
  <si>
    <t>Orange County</t>
  </si>
  <si>
    <t>DeSoto County</t>
  </si>
  <si>
    <t>Monroe County</t>
  </si>
  <si>
    <t>Leon County</t>
  </si>
  <si>
    <t>Hamilton County</t>
  </si>
  <si>
    <t>Collier County</t>
  </si>
  <si>
    <t>Hendry County</t>
  </si>
  <si>
    <t>Jefferson County</t>
  </si>
  <si>
    <t>Liberty County</t>
  </si>
  <si>
    <t>Washington County</t>
  </si>
  <si>
    <t>Walton County</t>
  </si>
  <si>
    <t>Madison County</t>
  </si>
  <si>
    <t>Jackson County</t>
  </si>
  <si>
    <t>Glades County</t>
  </si>
  <si>
    <t>Holmes County</t>
  </si>
  <si>
    <t>FIPS</t>
  </si>
  <si>
    <t>STATE</t>
  </si>
  <si>
    <t>SDOH_2020_COUNTY: ACS_TOT_POP_WT</t>
  </si>
  <si>
    <t>Calculation of Percentage</t>
  </si>
  <si>
    <t>Percentage of Those with Cancer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</si>
</sst>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0" fontId="0" fillId="0" borderId="0" xfId="0"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S164"/>
  <sheetViews>
    <sheetView tabSelected="1" topLeftCell="I1" zoomScale="85" zoomScaleNormal="85" workbookViewId="0">
      <selection activeCell="S2" sqref="S2"/>
    </sheetView>
  </sheetViews>
  <sheetFormatPr defaultRowHeight="14.4" x14ac:dyDescent="0.3"/>
  <cols>
    <col min="1" max="1" width="30" customWidth="1"/>
    <col min="3" max="3" width="50.44140625" style="1" customWidth="1"/>
    <col min="4" max="4" width="8.88671875" customWidth="1"/>
    <col min="9" max="9" width="26.44140625" customWidth="1"/>
    <col min="16" max="16" width="37.6640625" customWidth="1"/>
    <col min="17" max="17" width="8.21875" customWidth="1"/>
    <col min="18" max="18" width="23.109375" customWidth="1"/>
  </cols>
  <sheetData>
    <row r="1" spans="1:19" ht="28.8" x14ac:dyDescent="0.3">
      <c r="A1" t="s">
        <v>0</v>
      </c>
      <c r="B1" t="s">
        <v>99</v>
      </c>
      <c r="C1" s="1" t="s">
        <v>1</v>
      </c>
      <c r="D1" t="s">
        <v>2</v>
      </c>
      <c r="E1" t="s">
        <v>3</v>
      </c>
      <c r="F1" t="s">
        <v>4</v>
      </c>
      <c r="G1" t="s">
        <v>5</v>
      </c>
      <c r="H1" t="s">
        <v>6</v>
      </c>
      <c r="I1" t="s">
        <v>7</v>
      </c>
      <c r="J1" t="s">
        <v>8</v>
      </c>
      <c r="K1" t="s">
        <v>9</v>
      </c>
      <c r="L1" t="s">
        <v>2</v>
      </c>
      <c r="M1" t="s">
        <v>3</v>
      </c>
      <c r="P1" t="s">
        <v>101</v>
      </c>
      <c r="Q1" t="s">
        <v>100</v>
      </c>
      <c r="R1" t="s">
        <v>102</v>
      </c>
      <c r="S1" t="s">
        <v>103</v>
      </c>
    </row>
    <row r="2" spans="1:19" x14ac:dyDescent="0.3">
      <c r="A2" t="s">
        <v>31</v>
      </c>
      <c r="B2">
        <v>12000</v>
      </c>
      <c r="C2" s="1">
        <v>460.5</v>
      </c>
      <c r="D2">
        <v>459.4</v>
      </c>
      <c r="E2">
        <v>461.6</v>
      </c>
      <c r="F2" t="s">
        <v>10</v>
      </c>
      <c r="G2">
        <v>23</v>
      </c>
      <c r="H2">
        <v>27</v>
      </c>
      <c r="I2">
        <v>134730</v>
      </c>
      <c r="J2" t="s">
        <v>11</v>
      </c>
      <c r="K2">
        <v>-1.9</v>
      </c>
      <c r="L2">
        <v>-3.5</v>
      </c>
      <c r="M2">
        <v>-0.3</v>
      </c>
      <c r="Q2" t="s">
        <v>31</v>
      </c>
    </row>
    <row r="3" spans="1:19" x14ac:dyDescent="0.3">
      <c r="A3" t="s">
        <v>65</v>
      </c>
      <c r="B3">
        <v>12001</v>
      </c>
      <c r="C3" s="1">
        <v>460.9</v>
      </c>
      <c r="D3">
        <v>449.3</v>
      </c>
      <c r="E3">
        <v>472.7</v>
      </c>
      <c r="F3">
        <v>34</v>
      </c>
      <c r="G3">
        <v>25</v>
      </c>
      <c r="H3">
        <v>45</v>
      </c>
      <c r="I3">
        <v>1272</v>
      </c>
      <c r="J3" t="s">
        <v>11</v>
      </c>
      <c r="K3">
        <v>-0.8</v>
      </c>
      <c r="L3">
        <v>-1.2</v>
      </c>
      <c r="M3">
        <v>-0.3</v>
      </c>
      <c r="P3">
        <v>268105</v>
      </c>
      <c r="R3">
        <f>(I3/P3)*100</f>
        <v>0.47444098394285822</v>
      </c>
      <c r="S3">
        <v>0.47444098394285822</v>
      </c>
    </row>
    <row r="4" spans="1:19" x14ac:dyDescent="0.3">
      <c r="A4" t="s">
        <v>79</v>
      </c>
      <c r="B4">
        <v>12003</v>
      </c>
      <c r="C4" s="1">
        <v>434.7</v>
      </c>
      <c r="D4">
        <v>402.2</v>
      </c>
      <c r="E4">
        <v>469.3</v>
      </c>
      <c r="F4">
        <v>48</v>
      </c>
      <c r="G4">
        <v>20</v>
      </c>
      <c r="H4">
        <v>62</v>
      </c>
      <c r="I4">
        <v>137</v>
      </c>
      <c r="J4" t="s">
        <v>11</v>
      </c>
      <c r="K4">
        <v>-1.1000000000000001</v>
      </c>
      <c r="L4">
        <v>-1.9</v>
      </c>
      <c r="M4">
        <v>-0.3</v>
      </c>
      <c r="P4">
        <v>28679</v>
      </c>
      <c r="R4">
        <f t="shared" ref="R4:S67" si="0">(I4/P4)*100</f>
        <v>0.47770145402559366</v>
      </c>
      <c r="S4">
        <v>0.47770145402559366</v>
      </c>
    </row>
    <row r="5" spans="1:19" x14ac:dyDescent="0.3">
      <c r="A5" t="s">
        <v>47</v>
      </c>
      <c r="B5">
        <v>12005</v>
      </c>
      <c r="C5" s="1">
        <v>494</v>
      </c>
      <c r="D5">
        <v>480.9</v>
      </c>
      <c r="E5">
        <v>507.3</v>
      </c>
      <c r="F5">
        <v>16</v>
      </c>
      <c r="G5">
        <v>7</v>
      </c>
      <c r="H5">
        <v>29</v>
      </c>
      <c r="I5">
        <v>1154</v>
      </c>
      <c r="J5" t="s">
        <v>12</v>
      </c>
      <c r="K5">
        <v>-6.6</v>
      </c>
      <c r="L5">
        <v>-14.4</v>
      </c>
      <c r="M5">
        <v>2</v>
      </c>
      <c r="P5">
        <v>180076</v>
      </c>
      <c r="R5">
        <f t="shared" si="0"/>
        <v>0.640840533996757</v>
      </c>
      <c r="S5">
        <v>0.640840533996757</v>
      </c>
    </row>
    <row r="6" spans="1:19" x14ac:dyDescent="0.3">
      <c r="A6" t="s">
        <v>57</v>
      </c>
      <c r="B6">
        <v>12007</v>
      </c>
      <c r="C6" s="1">
        <v>480.1</v>
      </c>
      <c r="D6">
        <v>447.5</v>
      </c>
      <c r="E6">
        <v>514.6</v>
      </c>
      <c r="F6">
        <v>26</v>
      </c>
      <c r="G6">
        <v>4</v>
      </c>
      <c r="H6">
        <v>51</v>
      </c>
      <c r="I6">
        <v>170</v>
      </c>
      <c r="J6" t="s">
        <v>12</v>
      </c>
      <c r="K6">
        <v>-0.1</v>
      </c>
      <c r="L6">
        <v>-0.9</v>
      </c>
      <c r="M6">
        <v>0.7</v>
      </c>
      <c r="P6">
        <v>27723</v>
      </c>
      <c r="R6">
        <f t="shared" si="0"/>
        <v>0.61320924863831472</v>
      </c>
      <c r="S6">
        <v>0.61320924863831472</v>
      </c>
    </row>
    <row r="7" spans="1:19" x14ac:dyDescent="0.3">
      <c r="A7" t="s">
        <v>41</v>
      </c>
      <c r="B7">
        <v>12009</v>
      </c>
      <c r="C7" s="1">
        <v>502.3</v>
      </c>
      <c r="D7">
        <v>495.4</v>
      </c>
      <c r="E7">
        <v>509.2</v>
      </c>
      <c r="F7">
        <v>10</v>
      </c>
      <c r="G7">
        <v>7</v>
      </c>
      <c r="H7">
        <v>20</v>
      </c>
      <c r="I7">
        <v>4697</v>
      </c>
      <c r="J7" t="s">
        <v>12</v>
      </c>
      <c r="K7">
        <v>-1.9</v>
      </c>
      <c r="L7">
        <v>-4.8</v>
      </c>
      <c r="M7">
        <v>1</v>
      </c>
      <c r="P7">
        <v>594001</v>
      </c>
      <c r="R7">
        <f t="shared" si="0"/>
        <v>0.79073940952961352</v>
      </c>
      <c r="S7">
        <v>0.79073940952961352</v>
      </c>
    </row>
    <row r="8" spans="1:19" x14ac:dyDescent="0.3">
      <c r="A8" t="s">
        <v>80</v>
      </c>
      <c r="B8">
        <v>12011</v>
      </c>
      <c r="C8" s="1">
        <v>430</v>
      </c>
      <c r="D8">
        <v>426.2</v>
      </c>
      <c r="E8">
        <v>433.8</v>
      </c>
      <c r="F8">
        <v>49</v>
      </c>
      <c r="G8">
        <v>43</v>
      </c>
      <c r="H8">
        <v>56</v>
      </c>
      <c r="I8">
        <v>10334</v>
      </c>
      <c r="J8" t="s">
        <v>11</v>
      </c>
      <c r="K8">
        <v>-5.5</v>
      </c>
      <c r="L8">
        <v>-8.8000000000000007</v>
      </c>
      <c r="M8">
        <v>-2.1</v>
      </c>
      <c r="P8">
        <v>1942273</v>
      </c>
      <c r="R8">
        <f t="shared" si="0"/>
        <v>0.53205702802850063</v>
      </c>
      <c r="S8">
        <v>0.53205702802850063</v>
      </c>
    </row>
    <row r="9" spans="1:19" x14ac:dyDescent="0.3">
      <c r="A9" t="s">
        <v>68</v>
      </c>
      <c r="B9">
        <v>12013</v>
      </c>
      <c r="C9" s="1">
        <v>454.8</v>
      </c>
      <c r="D9">
        <v>412.8</v>
      </c>
      <c r="E9">
        <v>500.4</v>
      </c>
      <c r="F9">
        <v>37</v>
      </c>
      <c r="G9">
        <v>5</v>
      </c>
      <c r="H9">
        <v>61</v>
      </c>
      <c r="I9">
        <v>89</v>
      </c>
      <c r="J9" t="s">
        <v>12</v>
      </c>
      <c r="K9">
        <v>0.8</v>
      </c>
      <c r="L9">
        <v>-0.4</v>
      </c>
      <c r="M9">
        <v>2</v>
      </c>
      <c r="P9">
        <v>14324</v>
      </c>
      <c r="R9">
        <f t="shared" si="0"/>
        <v>0.62133482267523044</v>
      </c>
      <c r="S9">
        <v>0.62133482267523044</v>
      </c>
    </row>
    <row r="10" spans="1:19" x14ac:dyDescent="0.3">
      <c r="A10" t="s">
        <v>62</v>
      </c>
      <c r="B10">
        <v>12015</v>
      </c>
      <c r="C10" s="1">
        <v>465.4</v>
      </c>
      <c r="D10">
        <v>453.5</v>
      </c>
      <c r="E10">
        <v>477.6</v>
      </c>
      <c r="F10">
        <v>31</v>
      </c>
      <c r="G10">
        <v>22</v>
      </c>
      <c r="H10">
        <v>42</v>
      </c>
      <c r="I10">
        <v>1855</v>
      </c>
      <c r="J10" t="s">
        <v>12</v>
      </c>
      <c r="K10">
        <v>0.1</v>
      </c>
      <c r="L10">
        <v>-0.6</v>
      </c>
      <c r="M10">
        <v>0.8</v>
      </c>
      <c r="P10">
        <v>185926</v>
      </c>
      <c r="R10">
        <f t="shared" si="0"/>
        <v>0.99770876585308144</v>
      </c>
      <c r="S10">
        <v>0.99770876585308144</v>
      </c>
    </row>
    <row r="11" spans="1:19" x14ac:dyDescent="0.3">
      <c r="A11" t="s">
        <v>35</v>
      </c>
      <c r="B11">
        <v>12017</v>
      </c>
      <c r="C11" s="1">
        <v>531.9</v>
      </c>
      <c r="D11">
        <v>517.70000000000005</v>
      </c>
      <c r="E11">
        <v>546.4</v>
      </c>
      <c r="F11">
        <v>4</v>
      </c>
      <c r="G11">
        <v>2</v>
      </c>
      <c r="H11">
        <v>9</v>
      </c>
      <c r="I11">
        <v>1584</v>
      </c>
      <c r="J11" t="s">
        <v>13</v>
      </c>
      <c r="K11">
        <v>0.6</v>
      </c>
      <c r="L11">
        <v>0.1</v>
      </c>
      <c r="M11">
        <v>1.2</v>
      </c>
      <c r="P11">
        <v>147938</v>
      </c>
      <c r="R11">
        <f t="shared" si="0"/>
        <v>1.0707188146385649</v>
      </c>
      <c r="S11">
        <v>1.0707188146385649</v>
      </c>
    </row>
    <row r="12" spans="1:19" x14ac:dyDescent="0.3">
      <c r="A12" t="s">
        <v>46</v>
      </c>
      <c r="B12">
        <v>12019</v>
      </c>
      <c r="C12" s="1">
        <v>496.6</v>
      </c>
      <c r="D12">
        <v>483.9</v>
      </c>
      <c r="E12">
        <v>509.5</v>
      </c>
      <c r="F12">
        <v>15</v>
      </c>
      <c r="G12">
        <v>6</v>
      </c>
      <c r="H12">
        <v>28</v>
      </c>
      <c r="I12">
        <v>1249</v>
      </c>
      <c r="J12" t="s">
        <v>12</v>
      </c>
      <c r="K12">
        <v>-0.1</v>
      </c>
      <c r="L12">
        <v>-0.7</v>
      </c>
      <c r="M12">
        <v>0.5</v>
      </c>
      <c r="P12">
        <v>215294</v>
      </c>
      <c r="R12">
        <f t="shared" si="0"/>
        <v>0.58013692903657321</v>
      </c>
      <c r="S12">
        <v>0.58013692903657321</v>
      </c>
    </row>
    <row r="13" spans="1:19" x14ac:dyDescent="0.3">
      <c r="A13" t="s">
        <v>89</v>
      </c>
      <c r="B13">
        <v>12021</v>
      </c>
      <c r="C13" s="1">
        <v>407.2</v>
      </c>
      <c r="D13">
        <v>399.5</v>
      </c>
      <c r="E13">
        <v>415</v>
      </c>
      <c r="F13">
        <v>58</v>
      </c>
      <c r="G13">
        <v>53</v>
      </c>
      <c r="H13">
        <v>62</v>
      </c>
      <c r="I13">
        <v>2789</v>
      </c>
      <c r="J13" t="s">
        <v>11</v>
      </c>
      <c r="K13">
        <v>-0.9</v>
      </c>
      <c r="L13">
        <v>-1.4</v>
      </c>
      <c r="M13">
        <v>-0.4</v>
      </c>
      <c r="P13">
        <v>379345</v>
      </c>
      <c r="R13">
        <f t="shared" si="0"/>
        <v>0.73521464629822453</v>
      </c>
      <c r="S13">
        <v>0.73521464629822453</v>
      </c>
    </row>
    <row r="14" spans="1:19" x14ac:dyDescent="0.3">
      <c r="A14" t="s">
        <v>42</v>
      </c>
      <c r="B14">
        <v>12023</v>
      </c>
      <c r="C14" s="1">
        <v>500.6</v>
      </c>
      <c r="D14">
        <v>479.8</v>
      </c>
      <c r="E14">
        <v>522.1</v>
      </c>
      <c r="F14">
        <v>11</v>
      </c>
      <c r="G14">
        <v>4</v>
      </c>
      <c r="H14">
        <v>31</v>
      </c>
      <c r="I14">
        <v>469</v>
      </c>
      <c r="J14" t="s">
        <v>12</v>
      </c>
      <c r="K14">
        <v>0.3</v>
      </c>
      <c r="L14">
        <v>-0.1</v>
      </c>
      <c r="M14">
        <v>0.8</v>
      </c>
      <c r="P14">
        <v>70898</v>
      </c>
      <c r="R14">
        <f t="shared" si="0"/>
        <v>0.66151372394143704</v>
      </c>
      <c r="S14">
        <v>0.66151372394143704</v>
      </c>
    </row>
    <row r="15" spans="1:19" x14ac:dyDescent="0.3">
      <c r="A15" t="s">
        <v>85</v>
      </c>
      <c r="B15">
        <v>12027</v>
      </c>
      <c r="C15" s="1">
        <v>422</v>
      </c>
      <c r="D15">
        <v>396.4</v>
      </c>
      <c r="E15">
        <v>448.8</v>
      </c>
      <c r="F15">
        <v>54</v>
      </c>
      <c r="G15">
        <v>33</v>
      </c>
      <c r="H15">
        <v>63</v>
      </c>
      <c r="I15">
        <v>222</v>
      </c>
      <c r="J15" t="s">
        <v>12</v>
      </c>
      <c r="K15">
        <v>0</v>
      </c>
      <c r="L15">
        <v>-0.7</v>
      </c>
      <c r="M15">
        <v>0.6</v>
      </c>
      <c r="P15">
        <v>37371</v>
      </c>
      <c r="R15">
        <f t="shared" si="0"/>
        <v>0.59404350967327602</v>
      </c>
      <c r="S15">
        <v>0.59404350967327602</v>
      </c>
    </row>
    <row r="16" spans="1:19" x14ac:dyDescent="0.3">
      <c r="A16" t="s">
        <v>54</v>
      </c>
      <c r="B16">
        <v>12029</v>
      </c>
      <c r="C16" s="1">
        <v>482.3</v>
      </c>
      <c r="D16">
        <v>443.5</v>
      </c>
      <c r="E16">
        <v>524</v>
      </c>
      <c r="F16">
        <v>23</v>
      </c>
      <c r="G16">
        <v>3</v>
      </c>
      <c r="H16">
        <v>55</v>
      </c>
      <c r="I16">
        <v>128</v>
      </c>
      <c r="J16" t="s">
        <v>12</v>
      </c>
      <c r="K16">
        <v>-0.4</v>
      </c>
      <c r="L16">
        <v>-1.4</v>
      </c>
      <c r="M16">
        <v>0.6</v>
      </c>
      <c r="P16">
        <v>16740</v>
      </c>
      <c r="R16">
        <f t="shared" si="0"/>
        <v>0.76463560334528069</v>
      </c>
      <c r="S16">
        <v>0.76463560334528069</v>
      </c>
    </row>
    <row r="17" spans="1:19" x14ac:dyDescent="0.3">
      <c r="A17" t="s">
        <v>38</v>
      </c>
      <c r="B17">
        <v>12031</v>
      </c>
      <c r="C17" s="1">
        <v>511.3</v>
      </c>
      <c r="D17">
        <v>505</v>
      </c>
      <c r="E17">
        <v>517.70000000000005</v>
      </c>
      <c r="F17">
        <v>7</v>
      </c>
      <c r="G17">
        <v>5</v>
      </c>
      <c r="H17">
        <v>13</v>
      </c>
      <c r="I17">
        <v>5316</v>
      </c>
      <c r="J17" t="s">
        <v>11</v>
      </c>
      <c r="K17">
        <v>-2.2999999999999998</v>
      </c>
      <c r="L17">
        <v>-4</v>
      </c>
      <c r="M17">
        <v>-0.6</v>
      </c>
      <c r="P17">
        <v>948651</v>
      </c>
      <c r="R17">
        <f t="shared" si="0"/>
        <v>0.56037467941318786</v>
      </c>
      <c r="S17">
        <v>0.56037467941318786</v>
      </c>
    </row>
    <row r="18" spans="1:19" x14ac:dyDescent="0.3">
      <c r="A18" t="s">
        <v>44</v>
      </c>
      <c r="B18">
        <v>12033</v>
      </c>
      <c r="C18" s="1">
        <v>500.1</v>
      </c>
      <c r="D18">
        <v>489.9</v>
      </c>
      <c r="E18">
        <v>510.5</v>
      </c>
      <c r="F18">
        <v>13</v>
      </c>
      <c r="G18">
        <v>7</v>
      </c>
      <c r="H18">
        <v>23</v>
      </c>
      <c r="I18">
        <v>1940</v>
      </c>
      <c r="J18" t="s">
        <v>12</v>
      </c>
      <c r="K18">
        <v>0.5</v>
      </c>
      <c r="L18">
        <v>0</v>
      </c>
      <c r="M18">
        <v>0.9</v>
      </c>
      <c r="P18">
        <v>316691</v>
      </c>
      <c r="R18">
        <f t="shared" si="0"/>
        <v>0.61258450666422481</v>
      </c>
      <c r="S18">
        <v>0.61258450666422481</v>
      </c>
    </row>
    <row r="19" spans="1:19" x14ac:dyDescent="0.3">
      <c r="A19" t="s">
        <v>49</v>
      </c>
      <c r="B19">
        <v>12035</v>
      </c>
      <c r="C19" s="1">
        <v>491.2</v>
      </c>
      <c r="D19">
        <v>475.9</v>
      </c>
      <c r="E19">
        <v>506.9</v>
      </c>
      <c r="F19">
        <v>18</v>
      </c>
      <c r="G19">
        <v>7</v>
      </c>
      <c r="H19">
        <v>32</v>
      </c>
      <c r="I19">
        <v>995</v>
      </c>
      <c r="J19" t="s">
        <v>12</v>
      </c>
      <c r="K19">
        <v>-0.6</v>
      </c>
      <c r="L19">
        <v>-1.2</v>
      </c>
      <c r="M19">
        <v>0</v>
      </c>
      <c r="P19">
        <v>112854</v>
      </c>
      <c r="R19">
        <f t="shared" si="0"/>
        <v>0.88167012245910636</v>
      </c>
      <c r="S19">
        <v>0.88167012245910636</v>
      </c>
    </row>
    <row r="20" spans="1:19" x14ac:dyDescent="0.3">
      <c r="A20" t="s">
        <v>78</v>
      </c>
      <c r="B20">
        <v>12037</v>
      </c>
      <c r="C20" s="1">
        <v>442.6</v>
      </c>
      <c r="D20">
        <v>397.3</v>
      </c>
      <c r="E20">
        <v>492.3</v>
      </c>
      <c r="F20">
        <v>47</v>
      </c>
      <c r="G20">
        <v>6</v>
      </c>
      <c r="H20">
        <v>63</v>
      </c>
      <c r="I20">
        <v>80</v>
      </c>
      <c r="J20" t="s">
        <v>12</v>
      </c>
      <c r="K20">
        <v>-0.3</v>
      </c>
      <c r="L20">
        <v>-1.7</v>
      </c>
      <c r="M20">
        <v>1.1000000000000001</v>
      </c>
      <c r="P20">
        <v>11914</v>
      </c>
      <c r="R20">
        <f t="shared" si="0"/>
        <v>0.67147893234849754</v>
      </c>
      <c r="S20">
        <v>0.67147893234849754</v>
      </c>
    </row>
    <row r="21" spans="1:19" x14ac:dyDescent="0.3">
      <c r="A21" t="s">
        <v>70</v>
      </c>
      <c r="B21">
        <v>12039</v>
      </c>
      <c r="C21" s="1">
        <v>449.5</v>
      </c>
      <c r="D21">
        <v>425.1</v>
      </c>
      <c r="E21">
        <v>475.1</v>
      </c>
      <c r="F21">
        <v>39</v>
      </c>
      <c r="G21">
        <v>20</v>
      </c>
      <c r="H21">
        <v>57</v>
      </c>
      <c r="I21">
        <v>270</v>
      </c>
      <c r="J21" t="s">
        <v>11</v>
      </c>
      <c r="K21">
        <v>-0.8</v>
      </c>
      <c r="L21">
        <v>-1.4</v>
      </c>
      <c r="M21">
        <v>-0.1</v>
      </c>
      <c r="P21">
        <v>45787</v>
      </c>
      <c r="R21">
        <f t="shared" si="0"/>
        <v>0.58968702906938653</v>
      </c>
      <c r="S21">
        <v>0.58968702906938653</v>
      </c>
    </row>
    <row r="22" spans="1:19" x14ac:dyDescent="0.3">
      <c r="A22" t="s">
        <v>64</v>
      </c>
      <c r="B22">
        <v>12041</v>
      </c>
      <c r="C22" s="1">
        <v>464.4</v>
      </c>
      <c r="D22">
        <v>424.2</v>
      </c>
      <c r="E22">
        <v>507.7</v>
      </c>
      <c r="F22">
        <v>33</v>
      </c>
      <c r="G22">
        <v>4</v>
      </c>
      <c r="H22">
        <v>60</v>
      </c>
      <c r="I22">
        <v>111</v>
      </c>
      <c r="J22" t="s">
        <v>12</v>
      </c>
      <c r="K22">
        <v>0.1</v>
      </c>
      <c r="L22">
        <v>-1</v>
      </c>
      <c r="M22">
        <v>1.2</v>
      </c>
      <c r="P22">
        <v>18245</v>
      </c>
      <c r="R22">
        <f t="shared" si="0"/>
        <v>0.60838585913949028</v>
      </c>
      <c r="S22">
        <v>0.60838585913949028</v>
      </c>
    </row>
    <row r="23" spans="1:19" x14ac:dyDescent="0.3">
      <c r="A23" t="s">
        <v>97</v>
      </c>
      <c r="B23">
        <v>12043</v>
      </c>
      <c r="C23" s="1">
        <v>331.4</v>
      </c>
      <c r="D23">
        <v>296.2</v>
      </c>
      <c r="E23">
        <v>370.5</v>
      </c>
      <c r="F23">
        <v>66</v>
      </c>
      <c r="G23">
        <v>60</v>
      </c>
      <c r="H23">
        <v>67</v>
      </c>
      <c r="I23">
        <v>75</v>
      </c>
      <c r="J23" t="s">
        <v>11</v>
      </c>
      <c r="K23">
        <v>-1.9</v>
      </c>
      <c r="L23">
        <v>-3.2</v>
      </c>
      <c r="M23">
        <v>-0.6</v>
      </c>
      <c r="P23">
        <v>13777</v>
      </c>
      <c r="R23">
        <f t="shared" si="0"/>
        <v>0.54438557015315381</v>
      </c>
      <c r="S23">
        <v>0.54438557015315381</v>
      </c>
    </row>
    <row r="24" spans="1:19" x14ac:dyDescent="0.3">
      <c r="A24" t="s">
        <v>71</v>
      </c>
      <c r="B24">
        <v>12045</v>
      </c>
      <c r="C24" s="1">
        <v>447.5</v>
      </c>
      <c r="D24">
        <v>408.5</v>
      </c>
      <c r="E24">
        <v>489.6</v>
      </c>
      <c r="F24">
        <v>40</v>
      </c>
      <c r="G24">
        <v>8</v>
      </c>
      <c r="H24">
        <v>62</v>
      </c>
      <c r="I24">
        <v>105</v>
      </c>
      <c r="J24" t="s">
        <v>12</v>
      </c>
      <c r="K24">
        <v>-0.2</v>
      </c>
      <c r="L24">
        <v>-1</v>
      </c>
      <c r="M24">
        <v>0.7</v>
      </c>
      <c r="P24">
        <v>15073</v>
      </c>
      <c r="R24">
        <f t="shared" si="0"/>
        <v>0.69660983215020233</v>
      </c>
      <c r="S24">
        <v>0.69660983215020233</v>
      </c>
    </row>
    <row r="25" spans="1:19" x14ac:dyDescent="0.3">
      <c r="A25" t="s">
        <v>88</v>
      </c>
      <c r="B25">
        <v>12047</v>
      </c>
      <c r="C25" s="1">
        <v>409.3</v>
      </c>
      <c r="D25">
        <v>367.8</v>
      </c>
      <c r="E25">
        <v>454.5</v>
      </c>
      <c r="F25">
        <v>57</v>
      </c>
      <c r="G25">
        <v>26</v>
      </c>
      <c r="H25">
        <v>64</v>
      </c>
      <c r="I25">
        <v>76</v>
      </c>
      <c r="J25" t="s">
        <v>12</v>
      </c>
      <c r="K25">
        <v>0.5</v>
      </c>
      <c r="L25">
        <v>-0.9</v>
      </c>
      <c r="M25">
        <v>2</v>
      </c>
      <c r="P25">
        <v>14397</v>
      </c>
      <c r="R25">
        <f t="shared" si="0"/>
        <v>0.5278877543932764</v>
      </c>
      <c r="S25">
        <v>0.5278877543932764</v>
      </c>
    </row>
    <row r="26" spans="1:19" x14ac:dyDescent="0.3">
      <c r="A26" t="s">
        <v>67</v>
      </c>
      <c r="B26">
        <v>12049</v>
      </c>
      <c r="C26" s="1">
        <v>458.3</v>
      </c>
      <c r="D26">
        <v>424.9</v>
      </c>
      <c r="E26">
        <v>493.8</v>
      </c>
      <c r="F26">
        <v>36</v>
      </c>
      <c r="G26">
        <v>7</v>
      </c>
      <c r="H26">
        <v>58</v>
      </c>
      <c r="I26">
        <v>143</v>
      </c>
      <c r="J26" t="s">
        <v>12</v>
      </c>
      <c r="K26">
        <v>0.5</v>
      </c>
      <c r="L26">
        <v>-0.5</v>
      </c>
      <c r="M26">
        <v>1.4</v>
      </c>
      <c r="P26">
        <v>27027</v>
      </c>
      <c r="R26">
        <f t="shared" si="0"/>
        <v>0.52910052910052907</v>
      </c>
      <c r="S26">
        <v>0.52910052910052907</v>
      </c>
    </row>
    <row r="27" spans="1:19" x14ac:dyDescent="0.3">
      <c r="A27" t="s">
        <v>90</v>
      </c>
      <c r="B27">
        <v>12051</v>
      </c>
      <c r="C27" s="1">
        <v>396.4</v>
      </c>
      <c r="D27">
        <v>370.1</v>
      </c>
      <c r="E27">
        <v>424.1</v>
      </c>
      <c r="F27">
        <v>59</v>
      </c>
      <c r="G27">
        <v>45</v>
      </c>
      <c r="H27">
        <v>64</v>
      </c>
      <c r="I27">
        <v>172</v>
      </c>
      <c r="J27" t="s">
        <v>12</v>
      </c>
      <c r="K27">
        <v>-0.8</v>
      </c>
      <c r="L27">
        <v>-1.7</v>
      </c>
      <c r="M27">
        <v>0</v>
      </c>
      <c r="P27">
        <v>41472</v>
      </c>
      <c r="R27">
        <f t="shared" si="0"/>
        <v>0.41473765432098769</v>
      </c>
      <c r="S27">
        <v>0.41473765432098769</v>
      </c>
    </row>
    <row r="28" spans="1:19" x14ac:dyDescent="0.3">
      <c r="A28" t="s">
        <v>34</v>
      </c>
      <c r="B28">
        <v>12053</v>
      </c>
      <c r="C28" s="1">
        <v>547</v>
      </c>
      <c r="D28">
        <v>534.5</v>
      </c>
      <c r="E28">
        <v>559.79999999999995</v>
      </c>
      <c r="F28">
        <v>3</v>
      </c>
      <c r="G28">
        <v>2</v>
      </c>
      <c r="H28">
        <v>5</v>
      </c>
      <c r="I28">
        <v>1751</v>
      </c>
      <c r="J28" t="s">
        <v>11</v>
      </c>
      <c r="K28">
        <v>-1.7</v>
      </c>
      <c r="L28">
        <v>-2.9</v>
      </c>
      <c r="M28">
        <v>-0.4</v>
      </c>
      <c r="P28">
        <v>190700</v>
      </c>
      <c r="R28">
        <f t="shared" si="0"/>
        <v>0.91819611955951763</v>
      </c>
      <c r="S28">
        <v>0.91819611955951763</v>
      </c>
    </row>
    <row r="29" spans="1:19" x14ac:dyDescent="0.3">
      <c r="A29" t="s">
        <v>59</v>
      </c>
      <c r="B29">
        <v>12055</v>
      </c>
      <c r="C29" s="1">
        <v>472.1</v>
      </c>
      <c r="D29">
        <v>455.9</v>
      </c>
      <c r="E29">
        <v>488.8</v>
      </c>
      <c r="F29">
        <v>28</v>
      </c>
      <c r="G29">
        <v>14</v>
      </c>
      <c r="H29">
        <v>42</v>
      </c>
      <c r="I29">
        <v>944</v>
      </c>
      <c r="J29" t="s">
        <v>12</v>
      </c>
      <c r="K29">
        <v>-0.1</v>
      </c>
      <c r="L29">
        <v>-0.7</v>
      </c>
      <c r="M29">
        <v>0.4</v>
      </c>
      <c r="P29">
        <v>104574</v>
      </c>
      <c r="R29">
        <f t="shared" si="0"/>
        <v>0.90271004264922439</v>
      </c>
      <c r="S29">
        <v>0.90271004264922439</v>
      </c>
    </row>
    <row r="30" spans="1:19" x14ac:dyDescent="0.3">
      <c r="A30" t="s">
        <v>52</v>
      </c>
      <c r="B30">
        <v>12057</v>
      </c>
      <c r="C30" s="1">
        <v>484</v>
      </c>
      <c r="D30">
        <v>479.1</v>
      </c>
      <c r="E30">
        <v>489</v>
      </c>
      <c r="F30">
        <v>21</v>
      </c>
      <c r="G30">
        <v>16</v>
      </c>
      <c r="H30">
        <v>29</v>
      </c>
      <c r="I30">
        <v>7640</v>
      </c>
      <c r="J30" t="s">
        <v>12</v>
      </c>
      <c r="K30">
        <v>-0.2</v>
      </c>
      <c r="L30">
        <v>-1.4</v>
      </c>
      <c r="M30">
        <v>1</v>
      </c>
      <c r="P30">
        <v>1451358</v>
      </c>
      <c r="R30">
        <f t="shared" si="0"/>
        <v>0.52640354757406516</v>
      </c>
      <c r="S30">
        <v>0.52640354757406516</v>
      </c>
    </row>
    <row r="31" spans="1:19" x14ac:dyDescent="0.3">
      <c r="A31" t="s">
        <v>98</v>
      </c>
      <c r="B31">
        <v>12059</v>
      </c>
      <c r="C31" s="1">
        <v>285.3</v>
      </c>
      <c r="D31">
        <v>256.7</v>
      </c>
      <c r="E31">
        <v>316.5</v>
      </c>
      <c r="F31">
        <v>67</v>
      </c>
      <c r="G31">
        <v>65</v>
      </c>
      <c r="H31">
        <v>67</v>
      </c>
      <c r="I31">
        <v>78</v>
      </c>
      <c r="J31" t="s">
        <v>13</v>
      </c>
      <c r="K31">
        <v>2.1</v>
      </c>
      <c r="L31">
        <v>0.3</v>
      </c>
      <c r="M31">
        <v>3.9</v>
      </c>
      <c r="P31">
        <v>19530</v>
      </c>
      <c r="R31">
        <f t="shared" si="0"/>
        <v>0.39938556067588327</v>
      </c>
      <c r="S31">
        <v>0.39938556067588327</v>
      </c>
    </row>
    <row r="32" spans="1:19" x14ac:dyDescent="0.3">
      <c r="A32" t="s">
        <v>40</v>
      </c>
      <c r="B32">
        <v>12061</v>
      </c>
      <c r="C32" s="1">
        <v>502.5</v>
      </c>
      <c r="D32">
        <v>489.4</v>
      </c>
      <c r="E32">
        <v>516</v>
      </c>
      <c r="F32">
        <v>9</v>
      </c>
      <c r="G32">
        <v>5</v>
      </c>
      <c r="H32">
        <v>24</v>
      </c>
      <c r="I32">
        <v>1493</v>
      </c>
      <c r="J32" t="s">
        <v>13</v>
      </c>
      <c r="K32">
        <v>1.3</v>
      </c>
      <c r="L32">
        <v>0.3</v>
      </c>
      <c r="M32">
        <v>2.2999999999999998</v>
      </c>
      <c r="P32">
        <v>156964</v>
      </c>
      <c r="R32">
        <f t="shared" si="0"/>
        <v>0.95117351749445733</v>
      </c>
      <c r="S32">
        <v>0.95117351749445733</v>
      </c>
    </row>
    <row r="33" spans="1:19" x14ac:dyDescent="0.3">
      <c r="A33" t="s">
        <v>96</v>
      </c>
      <c r="B33">
        <v>12063</v>
      </c>
      <c r="C33" s="1">
        <v>331.6</v>
      </c>
      <c r="D33">
        <v>311.60000000000002</v>
      </c>
      <c r="E33">
        <v>352.7</v>
      </c>
      <c r="F33">
        <v>65</v>
      </c>
      <c r="G33">
        <v>63</v>
      </c>
      <c r="H33">
        <v>67</v>
      </c>
      <c r="I33">
        <v>217</v>
      </c>
      <c r="J33" t="s">
        <v>12</v>
      </c>
      <c r="K33">
        <v>0.5</v>
      </c>
      <c r="L33">
        <v>-0.3</v>
      </c>
      <c r="M33">
        <v>1.3</v>
      </c>
      <c r="P33">
        <v>47409</v>
      </c>
      <c r="R33">
        <f t="shared" si="0"/>
        <v>0.45771899850239406</v>
      </c>
      <c r="S33">
        <v>0.45771899850239406</v>
      </c>
    </row>
    <row r="34" spans="1:19" x14ac:dyDescent="0.3">
      <c r="A34" t="s">
        <v>91</v>
      </c>
      <c r="B34">
        <v>12065</v>
      </c>
      <c r="C34" s="1">
        <v>395.2</v>
      </c>
      <c r="D34">
        <v>356.6</v>
      </c>
      <c r="E34">
        <v>437.4</v>
      </c>
      <c r="F34">
        <v>60</v>
      </c>
      <c r="G34">
        <v>36</v>
      </c>
      <c r="H34">
        <v>65</v>
      </c>
      <c r="I34">
        <v>87</v>
      </c>
      <c r="J34" t="s">
        <v>12</v>
      </c>
      <c r="K34">
        <v>-0.8</v>
      </c>
      <c r="L34">
        <v>-1.9</v>
      </c>
      <c r="M34">
        <v>0.3</v>
      </c>
      <c r="P34">
        <v>14278</v>
      </c>
      <c r="R34">
        <f t="shared" si="0"/>
        <v>0.60932903768034741</v>
      </c>
      <c r="S34">
        <v>0.60932903768034741</v>
      </c>
    </row>
    <row r="35" spans="1:19" x14ac:dyDescent="0.3">
      <c r="A35" t="s">
        <v>69</v>
      </c>
      <c r="B35">
        <v>12067</v>
      </c>
      <c r="C35" s="1">
        <v>452.7</v>
      </c>
      <c r="D35">
        <v>395.3</v>
      </c>
      <c r="E35">
        <v>516.5</v>
      </c>
      <c r="F35">
        <v>38</v>
      </c>
      <c r="G35">
        <v>2</v>
      </c>
      <c r="H35">
        <v>63</v>
      </c>
      <c r="I35">
        <v>46</v>
      </c>
      <c r="J35" t="s">
        <v>12</v>
      </c>
      <c r="K35">
        <v>1</v>
      </c>
      <c r="L35">
        <v>-0.8</v>
      </c>
      <c r="M35">
        <v>2.8</v>
      </c>
      <c r="P35">
        <v>8576</v>
      </c>
      <c r="R35">
        <f t="shared" si="0"/>
        <v>0.53638059701492535</v>
      </c>
      <c r="S35">
        <v>0.53638059701492535</v>
      </c>
    </row>
    <row r="36" spans="1:19" x14ac:dyDescent="0.3">
      <c r="A36" t="s">
        <v>37</v>
      </c>
      <c r="B36">
        <v>12069</v>
      </c>
      <c r="C36" s="1">
        <v>520.6</v>
      </c>
      <c r="D36">
        <v>511.6</v>
      </c>
      <c r="E36">
        <v>529.6</v>
      </c>
      <c r="F36">
        <v>6</v>
      </c>
      <c r="G36">
        <v>4</v>
      </c>
      <c r="H36">
        <v>10</v>
      </c>
      <c r="I36">
        <v>3029</v>
      </c>
      <c r="J36" t="s">
        <v>11</v>
      </c>
      <c r="K36">
        <v>-0.4</v>
      </c>
      <c r="L36">
        <v>-0.7</v>
      </c>
      <c r="M36">
        <v>-0.1</v>
      </c>
      <c r="P36">
        <v>356115</v>
      </c>
      <c r="R36">
        <f t="shared" si="0"/>
        <v>0.85056793451553581</v>
      </c>
      <c r="S36">
        <v>0.85056793451553581</v>
      </c>
    </row>
    <row r="37" spans="1:19" x14ac:dyDescent="0.3">
      <c r="A37" t="s">
        <v>83</v>
      </c>
      <c r="B37">
        <v>12071</v>
      </c>
      <c r="C37" s="1">
        <v>428.2</v>
      </c>
      <c r="D37">
        <v>422.6</v>
      </c>
      <c r="E37">
        <v>433.9</v>
      </c>
      <c r="F37">
        <v>52</v>
      </c>
      <c r="G37">
        <v>43</v>
      </c>
      <c r="H37">
        <v>57</v>
      </c>
      <c r="I37">
        <v>5413</v>
      </c>
      <c r="J37" t="s">
        <v>11</v>
      </c>
      <c r="K37">
        <v>-0.6</v>
      </c>
      <c r="L37">
        <v>-1.1000000000000001</v>
      </c>
      <c r="M37">
        <v>-0.1</v>
      </c>
      <c r="P37">
        <v>756570</v>
      </c>
      <c r="R37">
        <f t="shared" si="0"/>
        <v>0.71546585246573358</v>
      </c>
      <c r="S37">
        <v>0.71546585246573358</v>
      </c>
    </row>
    <row r="38" spans="1:19" x14ac:dyDescent="0.3">
      <c r="A38" t="s">
        <v>87</v>
      </c>
      <c r="B38">
        <v>12073</v>
      </c>
      <c r="C38" s="1">
        <v>418.9</v>
      </c>
      <c r="D38">
        <v>408.1</v>
      </c>
      <c r="E38">
        <v>429.9</v>
      </c>
      <c r="F38">
        <v>56</v>
      </c>
      <c r="G38">
        <v>45</v>
      </c>
      <c r="H38">
        <v>60</v>
      </c>
      <c r="I38">
        <v>1214</v>
      </c>
      <c r="J38" t="s">
        <v>11</v>
      </c>
      <c r="K38">
        <v>-0.8</v>
      </c>
      <c r="L38">
        <v>-1.2</v>
      </c>
      <c r="M38">
        <v>-0.3</v>
      </c>
      <c r="P38">
        <v>291863</v>
      </c>
      <c r="R38">
        <f t="shared" si="0"/>
        <v>0.41594857861393875</v>
      </c>
      <c r="S38">
        <v>0.41594857861393875</v>
      </c>
    </row>
    <row r="39" spans="1:19" x14ac:dyDescent="0.3">
      <c r="A39" t="s">
        <v>45</v>
      </c>
      <c r="B39">
        <v>12075</v>
      </c>
      <c r="C39" s="1">
        <v>496.9</v>
      </c>
      <c r="D39">
        <v>470.9</v>
      </c>
      <c r="E39">
        <v>524.20000000000005</v>
      </c>
      <c r="F39">
        <v>14</v>
      </c>
      <c r="G39">
        <v>3</v>
      </c>
      <c r="H39">
        <v>38</v>
      </c>
      <c r="I39">
        <v>321</v>
      </c>
      <c r="J39" t="s">
        <v>12</v>
      </c>
      <c r="K39">
        <v>-0.3</v>
      </c>
      <c r="L39">
        <v>-1</v>
      </c>
      <c r="M39">
        <v>0.4</v>
      </c>
      <c r="P39">
        <v>40979</v>
      </c>
      <c r="R39">
        <f t="shared" si="0"/>
        <v>0.78332804607237849</v>
      </c>
      <c r="S39">
        <v>0.78332804607237849</v>
      </c>
    </row>
    <row r="40" spans="1:19" x14ac:dyDescent="0.3">
      <c r="A40" t="s">
        <v>92</v>
      </c>
      <c r="B40">
        <v>12077</v>
      </c>
      <c r="C40" s="1">
        <v>393</v>
      </c>
      <c r="D40">
        <v>338.1</v>
      </c>
      <c r="E40">
        <v>454.8</v>
      </c>
      <c r="F40">
        <v>61</v>
      </c>
      <c r="G40">
        <v>23</v>
      </c>
      <c r="H40">
        <v>66</v>
      </c>
      <c r="I40">
        <v>38</v>
      </c>
      <c r="J40" t="s">
        <v>12</v>
      </c>
      <c r="K40">
        <v>-0.6</v>
      </c>
      <c r="L40">
        <v>-2.1</v>
      </c>
      <c r="M40">
        <v>1</v>
      </c>
      <c r="P40">
        <v>8333</v>
      </c>
      <c r="R40">
        <f t="shared" si="0"/>
        <v>0.45601824072962915</v>
      </c>
      <c r="S40">
        <v>0.45601824072962915</v>
      </c>
    </row>
    <row r="41" spans="1:19" x14ac:dyDescent="0.3">
      <c r="A41" t="s">
        <v>95</v>
      </c>
      <c r="B41">
        <v>12079</v>
      </c>
      <c r="C41" s="1">
        <v>342.3</v>
      </c>
      <c r="D41">
        <v>310.5</v>
      </c>
      <c r="E41">
        <v>376.8</v>
      </c>
      <c r="F41">
        <v>64</v>
      </c>
      <c r="G41">
        <v>60</v>
      </c>
      <c r="H41">
        <v>67</v>
      </c>
      <c r="I41">
        <v>91</v>
      </c>
      <c r="J41" t="s">
        <v>12</v>
      </c>
      <c r="K41">
        <v>-0.8</v>
      </c>
      <c r="L41">
        <v>-2.1</v>
      </c>
      <c r="M41">
        <v>0.7</v>
      </c>
      <c r="P41">
        <v>18557</v>
      </c>
      <c r="R41">
        <f t="shared" si="0"/>
        <v>0.49038098830629956</v>
      </c>
      <c r="S41">
        <v>0.49038098830629956</v>
      </c>
    </row>
    <row r="42" spans="1:19" x14ac:dyDescent="0.3">
      <c r="A42" t="s">
        <v>72</v>
      </c>
      <c r="B42">
        <v>12081</v>
      </c>
      <c r="C42" s="1">
        <v>447.3</v>
      </c>
      <c r="D42">
        <v>439.4</v>
      </c>
      <c r="E42">
        <v>455.4</v>
      </c>
      <c r="F42">
        <v>41</v>
      </c>
      <c r="G42">
        <v>34</v>
      </c>
      <c r="H42">
        <v>48</v>
      </c>
      <c r="I42">
        <v>2906</v>
      </c>
      <c r="J42" t="s">
        <v>12</v>
      </c>
      <c r="K42">
        <v>-0.2</v>
      </c>
      <c r="L42">
        <v>-0.7</v>
      </c>
      <c r="M42">
        <v>0.2</v>
      </c>
      <c r="P42">
        <v>393847</v>
      </c>
      <c r="R42">
        <f t="shared" si="0"/>
        <v>0.73784997727543944</v>
      </c>
      <c r="S42">
        <v>0.73784997727543944</v>
      </c>
    </row>
    <row r="43" spans="1:19" x14ac:dyDescent="0.3">
      <c r="A43" t="s">
        <v>36</v>
      </c>
      <c r="B43">
        <v>12083</v>
      </c>
      <c r="C43" s="1">
        <v>523.6</v>
      </c>
      <c r="D43">
        <v>514.6</v>
      </c>
      <c r="E43">
        <v>532.6</v>
      </c>
      <c r="F43">
        <v>5</v>
      </c>
      <c r="G43">
        <v>3</v>
      </c>
      <c r="H43">
        <v>9</v>
      </c>
      <c r="I43">
        <v>3217</v>
      </c>
      <c r="J43" t="s">
        <v>11</v>
      </c>
      <c r="K43">
        <v>-0.6</v>
      </c>
      <c r="L43">
        <v>-1</v>
      </c>
      <c r="M43">
        <v>-0.2</v>
      </c>
      <c r="P43">
        <v>360210</v>
      </c>
      <c r="R43">
        <f t="shared" si="0"/>
        <v>0.89309014186169189</v>
      </c>
      <c r="S43">
        <v>0.89309014186169189</v>
      </c>
    </row>
    <row r="44" spans="1:19" x14ac:dyDescent="0.3">
      <c r="A44" t="s">
        <v>75</v>
      </c>
      <c r="B44">
        <v>12085</v>
      </c>
      <c r="C44" s="1">
        <v>443.8</v>
      </c>
      <c r="D44">
        <v>431.7</v>
      </c>
      <c r="E44">
        <v>456.2</v>
      </c>
      <c r="F44">
        <v>44</v>
      </c>
      <c r="G44">
        <v>33</v>
      </c>
      <c r="H44">
        <v>54</v>
      </c>
      <c r="I44">
        <v>1326</v>
      </c>
      <c r="J44" t="s">
        <v>11</v>
      </c>
      <c r="K44">
        <v>-4.0999999999999996</v>
      </c>
      <c r="L44">
        <v>-6.4</v>
      </c>
      <c r="M44">
        <v>-1.8</v>
      </c>
      <c r="P44">
        <v>160420</v>
      </c>
      <c r="R44">
        <f t="shared" si="0"/>
        <v>0.82658022690437605</v>
      </c>
      <c r="S44">
        <v>0.82658022690437605</v>
      </c>
    </row>
    <row r="45" spans="1:19" x14ac:dyDescent="0.3">
      <c r="A45" t="s">
        <v>81</v>
      </c>
      <c r="B45">
        <v>12086</v>
      </c>
      <c r="C45" s="1">
        <v>429.7</v>
      </c>
      <c r="D45">
        <v>426.5</v>
      </c>
      <c r="E45">
        <v>432.9</v>
      </c>
      <c r="F45">
        <v>50</v>
      </c>
      <c r="G45">
        <v>44</v>
      </c>
      <c r="H45">
        <v>56</v>
      </c>
      <c r="I45">
        <v>14149</v>
      </c>
      <c r="J45" t="s">
        <v>11</v>
      </c>
      <c r="K45">
        <v>-0.6</v>
      </c>
      <c r="L45">
        <v>-0.9</v>
      </c>
      <c r="M45">
        <v>-0.3</v>
      </c>
      <c r="P45">
        <v>2705528</v>
      </c>
      <c r="R45">
        <f t="shared" si="0"/>
        <v>0.52296631193615439</v>
      </c>
      <c r="S45">
        <v>0.52296631193615439</v>
      </c>
    </row>
    <row r="46" spans="1:19" x14ac:dyDescent="0.3">
      <c r="A46" t="s">
        <v>86</v>
      </c>
      <c r="B46">
        <v>12087</v>
      </c>
      <c r="C46" s="1">
        <v>420</v>
      </c>
      <c r="D46">
        <v>402.8</v>
      </c>
      <c r="E46">
        <v>437.8</v>
      </c>
      <c r="F46">
        <v>55</v>
      </c>
      <c r="G46">
        <v>41</v>
      </c>
      <c r="H46">
        <v>62</v>
      </c>
      <c r="I46">
        <v>504</v>
      </c>
      <c r="J46" t="s">
        <v>11</v>
      </c>
      <c r="K46">
        <v>-1</v>
      </c>
      <c r="L46">
        <v>-1.6</v>
      </c>
      <c r="M46">
        <v>-0.3</v>
      </c>
      <c r="P46">
        <v>75137</v>
      </c>
      <c r="R46">
        <f t="shared" si="0"/>
        <v>0.67077471818145518</v>
      </c>
      <c r="S46">
        <v>0.67077471818145518</v>
      </c>
    </row>
    <row r="47" spans="1:19" x14ac:dyDescent="0.3">
      <c r="A47" t="s">
        <v>33</v>
      </c>
      <c r="B47">
        <v>12089</v>
      </c>
      <c r="C47" s="1">
        <v>550.20000000000005</v>
      </c>
      <c r="D47">
        <v>530.79999999999995</v>
      </c>
      <c r="E47">
        <v>570.1</v>
      </c>
      <c r="F47">
        <v>2</v>
      </c>
      <c r="G47">
        <v>2</v>
      </c>
      <c r="H47">
        <v>6</v>
      </c>
      <c r="I47">
        <v>686</v>
      </c>
      <c r="J47" t="s">
        <v>12</v>
      </c>
      <c r="K47">
        <v>0.3</v>
      </c>
      <c r="L47">
        <v>-0.5</v>
      </c>
      <c r="M47">
        <v>1</v>
      </c>
      <c r="P47">
        <v>85762</v>
      </c>
      <c r="R47">
        <f t="shared" si="0"/>
        <v>0.79988806231197973</v>
      </c>
      <c r="S47">
        <v>0.79988806231197973</v>
      </c>
    </row>
    <row r="48" spans="1:19" x14ac:dyDescent="0.3">
      <c r="A48" t="s">
        <v>77</v>
      </c>
      <c r="B48">
        <v>12091</v>
      </c>
      <c r="C48" s="1">
        <v>443.4</v>
      </c>
      <c r="D48">
        <v>431.4</v>
      </c>
      <c r="E48">
        <v>455.7</v>
      </c>
      <c r="F48">
        <v>46</v>
      </c>
      <c r="G48">
        <v>33</v>
      </c>
      <c r="H48">
        <v>54</v>
      </c>
      <c r="I48">
        <v>1086</v>
      </c>
      <c r="J48" t="s">
        <v>11</v>
      </c>
      <c r="K48">
        <v>-1</v>
      </c>
      <c r="L48">
        <v>-1.4</v>
      </c>
      <c r="M48">
        <v>-0.6</v>
      </c>
      <c r="P48">
        <v>207430</v>
      </c>
      <c r="R48">
        <f t="shared" si="0"/>
        <v>0.5235501132912308</v>
      </c>
      <c r="S48">
        <v>0.5235501132912308</v>
      </c>
    </row>
    <row r="49" spans="1:19" x14ac:dyDescent="0.3">
      <c r="A49" t="s">
        <v>66</v>
      </c>
      <c r="B49">
        <v>12093</v>
      </c>
      <c r="C49" s="1">
        <v>460.3</v>
      </c>
      <c r="D49">
        <v>435</v>
      </c>
      <c r="E49">
        <v>486.9</v>
      </c>
      <c r="F49">
        <v>35</v>
      </c>
      <c r="G49">
        <v>11</v>
      </c>
      <c r="H49">
        <v>55</v>
      </c>
      <c r="I49">
        <v>261</v>
      </c>
      <c r="J49" t="s">
        <v>12</v>
      </c>
      <c r="K49">
        <v>-0.5</v>
      </c>
      <c r="L49">
        <v>-1.3</v>
      </c>
      <c r="M49">
        <v>0.4</v>
      </c>
      <c r="P49">
        <v>41611</v>
      </c>
      <c r="R49">
        <f t="shared" si="0"/>
        <v>0.62723798995457936</v>
      </c>
      <c r="S49">
        <v>0.62723798995457936</v>
      </c>
    </row>
    <row r="50" spans="1:19" x14ac:dyDescent="0.3">
      <c r="A50" t="s">
        <v>84</v>
      </c>
      <c r="B50">
        <v>12095</v>
      </c>
      <c r="C50" s="1">
        <v>428.2</v>
      </c>
      <c r="D50">
        <v>423.2</v>
      </c>
      <c r="E50">
        <v>433.3</v>
      </c>
      <c r="F50">
        <v>53</v>
      </c>
      <c r="G50">
        <v>44</v>
      </c>
      <c r="H50">
        <v>57</v>
      </c>
      <c r="I50">
        <v>5745</v>
      </c>
      <c r="J50" t="s">
        <v>11</v>
      </c>
      <c r="K50">
        <v>-1.2</v>
      </c>
      <c r="L50">
        <v>-1.4</v>
      </c>
      <c r="M50">
        <v>-1</v>
      </c>
      <c r="P50">
        <v>1373784</v>
      </c>
      <c r="R50">
        <f t="shared" si="0"/>
        <v>0.41818801208923673</v>
      </c>
      <c r="S50">
        <v>0.41818801208923673</v>
      </c>
    </row>
    <row r="51" spans="1:19" x14ac:dyDescent="0.3">
      <c r="A51" t="s">
        <v>60</v>
      </c>
      <c r="B51">
        <v>12097</v>
      </c>
      <c r="C51" s="1">
        <v>467.6</v>
      </c>
      <c r="D51">
        <v>457.6</v>
      </c>
      <c r="E51">
        <v>477.7</v>
      </c>
      <c r="F51">
        <v>29</v>
      </c>
      <c r="G51">
        <v>22</v>
      </c>
      <c r="H51">
        <v>40</v>
      </c>
      <c r="I51">
        <v>1718</v>
      </c>
      <c r="J51" t="s">
        <v>12</v>
      </c>
      <c r="K51">
        <v>0</v>
      </c>
      <c r="L51">
        <v>-0.4</v>
      </c>
      <c r="M51">
        <v>0.5</v>
      </c>
      <c r="P51">
        <v>363666</v>
      </c>
      <c r="R51">
        <f t="shared" si="0"/>
        <v>0.47241149846287522</v>
      </c>
      <c r="S51">
        <v>0.47241149846287522</v>
      </c>
    </row>
    <row r="52" spans="1:19" x14ac:dyDescent="0.3">
      <c r="A52" t="s">
        <v>82</v>
      </c>
      <c r="B52">
        <v>12099</v>
      </c>
      <c r="C52" s="1">
        <v>428.8</v>
      </c>
      <c r="D52">
        <v>424.7</v>
      </c>
      <c r="E52">
        <v>432.8</v>
      </c>
      <c r="F52">
        <v>51</v>
      </c>
      <c r="G52">
        <v>44</v>
      </c>
      <c r="H52">
        <v>56</v>
      </c>
      <c r="I52">
        <v>9760</v>
      </c>
      <c r="J52" t="s">
        <v>11</v>
      </c>
      <c r="K52">
        <v>-4.5999999999999996</v>
      </c>
      <c r="L52">
        <v>-7</v>
      </c>
      <c r="M52">
        <v>-2.1</v>
      </c>
      <c r="P52">
        <v>1482057</v>
      </c>
      <c r="R52">
        <f t="shared" si="0"/>
        <v>0.65854417205276172</v>
      </c>
      <c r="S52">
        <v>0.65854417205276172</v>
      </c>
    </row>
    <row r="53" spans="1:19" x14ac:dyDescent="0.3">
      <c r="A53" t="s">
        <v>39</v>
      </c>
      <c r="B53">
        <v>12101</v>
      </c>
      <c r="C53" s="1">
        <v>505.1</v>
      </c>
      <c r="D53">
        <v>497.7</v>
      </c>
      <c r="E53">
        <v>512.5</v>
      </c>
      <c r="F53">
        <v>8</v>
      </c>
      <c r="G53">
        <v>6</v>
      </c>
      <c r="H53">
        <v>18</v>
      </c>
      <c r="I53">
        <v>3952</v>
      </c>
      <c r="J53" t="s">
        <v>11</v>
      </c>
      <c r="K53">
        <v>-0.6</v>
      </c>
      <c r="L53">
        <v>-0.9</v>
      </c>
      <c r="M53">
        <v>-0.4</v>
      </c>
      <c r="P53">
        <v>539885</v>
      </c>
      <c r="R53">
        <f t="shared" si="0"/>
        <v>0.73200774238958299</v>
      </c>
      <c r="S53">
        <v>0.73200774238958299</v>
      </c>
    </row>
    <row r="54" spans="1:19" x14ac:dyDescent="0.3">
      <c r="A54" t="s">
        <v>53</v>
      </c>
      <c r="B54">
        <v>12103</v>
      </c>
      <c r="C54" s="1">
        <v>482.7</v>
      </c>
      <c r="D54">
        <v>477.5</v>
      </c>
      <c r="E54">
        <v>487.9</v>
      </c>
      <c r="F54">
        <v>22</v>
      </c>
      <c r="G54">
        <v>17</v>
      </c>
      <c r="H54">
        <v>30</v>
      </c>
      <c r="I54">
        <v>7579</v>
      </c>
      <c r="J54" t="s">
        <v>12</v>
      </c>
      <c r="K54">
        <v>-0.2</v>
      </c>
      <c r="L54">
        <v>-0.5</v>
      </c>
      <c r="M54">
        <v>0.1</v>
      </c>
      <c r="P54">
        <v>970985</v>
      </c>
      <c r="R54">
        <f t="shared" si="0"/>
        <v>0.78054758827376325</v>
      </c>
      <c r="S54">
        <v>0.78054758827376325</v>
      </c>
    </row>
    <row r="55" spans="1:19" x14ac:dyDescent="0.3">
      <c r="A55" t="s">
        <v>51</v>
      </c>
      <c r="B55">
        <v>12105</v>
      </c>
      <c r="C55" s="1">
        <v>488.2</v>
      </c>
      <c r="D55">
        <v>481.7</v>
      </c>
      <c r="E55">
        <v>494.9</v>
      </c>
      <c r="F55">
        <v>20</v>
      </c>
      <c r="G55">
        <v>13</v>
      </c>
      <c r="H55">
        <v>29</v>
      </c>
      <c r="I55">
        <v>4587</v>
      </c>
      <c r="J55" t="s">
        <v>11</v>
      </c>
      <c r="K55">
        <v>-1</v>
      </c>
      <c r="L55">
        <v>-1.3</v>
      </c>
      <c r="M55">
        <v>-0.8</v>
      </c>
      <c r="P55">
        <v>705735</v>
      </c>
      <c r="R55">
        <f t="shared" si="0"/>
        <v>0.64996067929180223</v>
      </c>
      <c r="S55">
        <v>0.64996067929180223</v>
      </c>
    </row>
    <row r="56" spans="1:19" x14ac:dyDescent="0.3">
      <c r="A56" t="s">
        <v>50</v>
      </c>
      <c r="B56">
        <v>12107</v>
      </c>
      <c r="C56" s="1">
        <v>490</v>
      </c>
      <c r="D56">
        <v>470.6</v>
      </c>
      <c r="E56">
        <v>510</v>
      </c>
      <c r="F56">
        <v>19</v>
      </c>
      <c r="G56">
        <v>6</v>
      </c>
      <c r="H56">
        <v>37</v>
      </c>
      <c r="I56">
        <v>550</v>
      </c>
      <c r="J56" t="s">
        <v>12</v>
      </c>
      <c r="K56">
        <v>-0.5</v>
      </c>
      <c r="L56">
        <v>-1.1000000000000001</v>
      </c>
      <c r="M56">
        <v>0.1</v>
      </c>
      <c r="P56">
        <v>73784</v>
      </c>
      <c r="R56">
        <f t="shared" si="0"/>
        <v>0.74541906104304456</v>
      </c>
      <c r="S56">
        <v>0.74541906104304456</v>
      </c>
    </row>
    <row r="57" spans="1:19" x14ac:dyDescent="0.3">
      <c r="A57" t="s">
        <v>48</v>
      </c>
      <c r="B57">
        <v>12109</v>
      </c>
      <c r="C57" s="1">
        <v>493.1</v>
      </c>
      <c r="D57">
        <v>482.2</v>
      </c>
      <c r="E57">
        <v>504.2</v>
      </c>
      <c r="F57">
        <v>17</v>
      </c>
      <c r="G57">
        <v>8</v>
      </c>
      <c r="H57">
        <v>29</v>
      </c>
      <c r="I57">
        <v>1681</v>
      </c>
      <c r="J57" t="s">
        <v>12</v>
      </c>
      <c r="K57">
        <v>0.3</v>
      </c>
      <c r="L57">
        <v>-1</v>
      </c>
      <c r="M57">
        <v>1.7</v>
      </c>
      <c r="P57">
        <v>255410</v>
      </c>
      <c r="R57">
        <f t="shared" si="0"/>
        <v>0.6581574722994401</v>
      </c>
      <c r="S57">
        <v>0.6581574722994401</v>
      </c>
    </row>
    <row r="58" spans="1:19" x14ac:dyDescent="0.3">
      <c r="A58" t="s">
        <v>73</v>
      </c>
      <c r="B58">
        <v>12111</v>
      </c>
      <c r="C58" s="1">
        <v>446.9</v>
      </c>
      <c r="D58">
        <v>438</v>
      </c>
      <c r="E58">
        <v>455.9</v>
      </c>
      <c r="F58">
        <v>42</v>
      </c>
      <c r="G58">
        <v>33</v>
      </c>
      <c r="H58">
        <v>48</v>
      </c>
      <c r="I58">
        <v>2183</v>
      </c>
      <c r="J58" t="s">
        <v>12</v>
      </c>
      <c r="K58">
        <v>-0.3</v>
      </c>
      <c r="L58">
        <v>-0.8</v>
      </c>
      <c r="M58">
        <v>0.2</v>
      </c>
      <c r="P58">
        <v>320914</v>
      </c>
      <c r="R58">
        <f t="shared" si="0"/>
        <v>0.68024455149977869</v>
      </c>
      <c r="S58">
        <v>0.68024455149977869</v>
      </c>
    </row>
    <row r="59" spans="1:19" x14ac:dyDescent="0.3">
      <c r="A59" t="s">
        <v>58</v>
      </c>
      <c r="B59">
        <v>12113</v>
      </c>
      <c r="C59" s="1">
        <v>476.2</v>
      </c>
      <c r="D59">
        <v>462.8</v>
      </c>
      <c r="E59">
        <v>489.8</v>
      </c>
      <c r="F59">
        <v>27</v>
      </c>
      <c r="G59">
        <v>14</v>
      </c>
      <c r="H59">
        <v>38</v>
      </c>
      <c r="I59">
        <v>1016</v>
      </c>
      <c r="J59" t="s">
        <v>12</v>
      </c>
      <c r="K59">
        <v>0</v>
      </c>
      <c r="L59">
        <v>-0.6</v>
      </c>
      <c r="M59">
        <v>0.5</v>
      </c>
      <c r="P59">
        <v>179587</v>
      </c>
      <c r="R59">
        <f t="shared" si="0"/>
        <v>0.56574250920166835</v>
      </c>
      <c r="S59">
        <v>0.56574250920166835</v>
      </c>
    </row>
    <row r="60" spans="1:19" x14ac:dyDescent="0.3">
      <c r="A60" t="s">
        <v>56</v>
      </c>
      <c r="B60">
        <v>12115</v>
      </c>
      <c r="C60" s="1">
        <v>480.6</v>
      </c>
      <c r="D60">
        <v>472.8</v>
      </c>
      <c r="E60">
        <v>488.5</v>
      </c>
      <c r="F60">
        <v>25</v>
      </c>
      <c r="G60">
        <v>16</v>
      </c>
      <c r="H60">
        <v>32</v>
      </c>
      <c r="I60">
        <v>4221</v>
      </c>
      <c r="J60" t="s">
        <v>12</v>
      </c>
      <c r="K60">
        <v>0.6</v>
      </c>
      <c r="L60">
        <v>-0.2</v>
      </c>
      <c r="M60">
        <v>1.3</v>
      </c>
      <c r="P60">
        <v>427766</v>
      </c>
      <c r="R60">
        <f t="shared" si="0"/>
        <v>0.98675444051186856</v>
      </c>
      <c r="S60">
        <v>0.98675444051186856</v>
      </c>
    </row>
    <row r="61" spans="1:19" x14ac:dyDescent="0.3">
      <c r="A61" t="s">
        <v>63</v>
      </c>
      <c r="B61">
        <v>12117</v>
      </c>
      <c r="C61" s="1">
        <v>464.7</v>
      </c>
      <c r="D61">
        <v>456.5</v>
      </c>
      <c r="E61">
        <v>473.1</v>
      </c>
      <c r="F61">
        <v>32</v>
      </c>
      <c r="G61">
        <v>25</v>
      </c>
      <c r="H61">
        <v>41</v>
      </c>
      <c r="I61">
        <v>2545</v>
      </c>
      <c r="J61" t="s">
        <v>11</v>
      </c>
      <c r="K61">
        <v>-0.5</v>
      </c>
      <c r="L61">
        <v>-0.9</v>
      </c>
      <c r="M61">
        <v>-0.2</v>
      </c>
      <c r="P61">
        <v>466695</v>
      </c>
      <c r="R61">
        <f t="shared" si="0"/>
        <v>0.54532403389794193</v>
      </c>
      <c r="S61">
        <v>0.54532403389794193</v>
      </c>
    </row>
    <row r="62" spans="1:19" x14ac:dyDescent="0.3">
      <c r="A62" t="s">
        <v>74</v>
      </c>
      <c r="B62">
        <v>12119</v>
      </c>
      <c r="C62" s="1">
        <v>445.1</v>
      </c>
      <c r="D62">
        <v>430</v>
      </c>
      <c r="E62">
        <v>460.8</v>
      </c>
      <c r="F62">
        <v>43</v>
      </c>
      <c r="G62">
        <v>30</v>
      </c>
      <c r="H62">
        <v>55</v>
      </c>
      <c r="I62">
        <v>1596</v>
      </c>
      <c r="J62" t="s">
        <v>11</v>
      </c>
      <c r="K62">
        <v>-0.9</v>
      </c>
      <c r="L62">
        <v>-1.3</v>
      </c>
      <c r="M62">
        <v>-0.6</v>
      </c>
      <c r="P62">
        <v>129938</v>
      </c>
      <c r="R62">
        <f t="shared" si="0"/>
        <v>1.2282781018639659</v>
      </c>
      <c r="S62">
        <v>1.2282781018639659</v>
      </c>
    </row>
    <row r="63" spans="1:19" x14ac:dyDescent="0.3">
      <c r="A63" t="s">
        <v>55</v>
      </c>
      <c r="B63">
        <v>12121</v>
      </c>
      <c r="C63" s="1">
        <v>481.9</v>
      </c>
      <c r="D63">
        <v>457.2</v>
      </c>
      <c r="E63">
        <v>507.8</v>
      </c>
      <c r="F63">
        <v>24</v>
      </c>
      <c r="G63">
        <v>6</v>
      </c>
      <c r="H63">
        <v>44</v>
      </c>
      <c r="I63">
        <v>310</v>
      </c>
      <c r="J63" t="s">
        <v>12</v>
      </c>
      <c r="K63">
        <v>-5.7</v>
      </c>
      <c r="L63">
        <v>-11.8</v>
      </c>
      <c r="M63">
        <v>0.8</v>
      </c>
      <c r="P63">
        <v>44290</v>
      </c>
      <c r="R63">
        <f t="shared" si="0"/>
        <v>0.69993226461955294</v>
      </c>
      <c r="S63">
        <v>0.69993226461955294</v>
      </c>
    </row>
    <row r="64" spans="1:19" x14ac:dyDescent="0.3">
      <c r="A64" t="s">
        <v>76</v>
      </c>
      <c r="B64">
        <v>12123</v>
      </c>
      <c r="C64" s="1">
        <v>443.5</v>
      </c>
      <c r="D64">
        <v>409.4</v>
      </c>
      <c r="E64">
        <v>479.8</v>
      </c>
      <c r="F64">
        <v>45</v>
      </c>
      <c r="G64">
        <v>15</v>
      </c>
      <c r="H64">
        <v>61</v>
      </c>
      <c r="I64">
        <v>135</v>
      </c>
      <c r="J64" t="s">
        <v>11</v>
      </c>
      <c r="K64">
        <v>-0.9</v>
      </c>
      <c r="L64">
        <v>-1.6</v>
      </c>
      <c r="M64">
        <v>-0.3</v>
      </c>
      <c r="P64">
        <v>21709</v>
      </c>
      <c r="R64">
        <f t="shared" si="0"/>
        <v>0.62186190059422364</v>
      </c>
      <c r="S64">
        <v>0.62186190059422364</v>
      </c>
    </row>
    <row r="65" spans="1:19" x14ac:dyDescent="0.3">
      <c r="A65" t="s">
        <v>32</v>
      </c>
      <c r="B65">
        <v>12125</v>
      </c>
      <c r="C65" s="1">
        <v>1204</v>
      </c>
      <c r="D65">
        <v>1132.8</v>
      </c>
      <c r="E65">
        <v>1278.8</v>
      </c>
      <c r="F65">
        <v>1</v>
      </c>
      <c r="G65">
        <v>1</v>
      </c>
      <c r="H65">
        <v>1</v>
      </c>
      <c r="I65">
        <v>230</v>
      </c>
      <c r="J65" t="s">
        <v>12</v>
      </c>
      <c r="K65">
        <v>0.4</v>
      </c>
      <c r="L65">
        <v>-0.4</v>
      </c>
      <c r="M65">
        <v>1.3</v>
      </c>
      <c r="P65">
        <v>15282</v>
      </c>
      <c r="R65">
        <f t="shared" si="0"/>
        <v>1.5050386075121058</v>
      </c>
      <c r="S65">
        <v>1.5050386075121058</v>
      </c>
    </row>
    <row r="66" spans="1:19" x14ac:dyDescent="0.3">
      <c r="A66" t="s">
        <v>43</v>
      </c>
      <c r="B66">
        <v>12127</v>
      </c>
      <c r="C66" s="1">
        <v>500.1</v>
      </c>
      <c r="D66">
        <v>493</v>
      </c>
      <c r="E66">
        <v>507.3</v>
      </c>
      <c r="F66">
        <v>12</v>
      </c>
      <c r="G66">
        <v>7</v>
      </c>
      <c r="H66">
        <v>21</v>
      </c>
      <c r="I66">
        <v>4310</v>
      </c>
      <c r="J66" t="s">
        <v>12</v>
      </c>
      <c r="K66">
        <v>-1.7</v>
      </c>
      <c r="L66">
        <v>-4.0999999999999996</v>
      </c>
      <c r="M66">
        <v>0.8</v>
      </c>
      <c r="P66">
        <v>546107</v>
      </c>
      <c r="R66">
        <f t="shared" si="0"/>
        <v>0.78922262487021777</v>
      </c>
      <c r="S66">
        <v>0.78922262487021777</v>
      </c>
    </row>
    <row r="67" spans="1:19" x14ac:dyDescent="0.3">
      <c r="A67" t="s">
        <v>61</v>
      </c>
      <c r="B67">
        <v>12129</v>
      </c>
      <c r="C67" s="1">
        <v>465.5</v>
      </c>
      <c r="D67">
        <v>434.6</v>
      </c>
      <c r="E67">
        <v>498.2</v>
      </c>
      <c r="F67">
        <v>30</v>
      </c>
      <c r="G67">
        <v>7</v>
      </c>
      <c r="H67">
        <v>57</v>
      </c>
      <c r="I67">
        <v>181</v>
      </c>
      <c r="J67" t="s">
        <v>12</v>
      </c>
      <c r="K67">
        <v>0.2</v>
      </c>
      <c r="L67">
        <v>-0.6</v>
      </c>
      <c r="M67">
        <v>0.9</v>
      </c>
      <c r="P67">
        <v>32855</v>
      </c>
      <c r="R67">
        <f t="shared" si="0"/>
        <v>0.55090549383655452</v>
      </c>
      <c r="S67">
        <v>0.55090549383655452</v>
      </c>
    </row>
    <row r="68" spans="1:19" x14ac:dyDescent="0.3">
      <c r="A68" t="s">
        <v>94</v>
      </c>
      <c r="B68">
        <v>12131</v>
      </c>
      <c r="C68" s="1">
        <v>385.8</v>
      </c>
      <c r="D68">
        <v>367.8</v>
      </c>
      <c r="E68">
        <v>404.6</v>
      </c>
      <c r="F68">
        <v>63</v>
      </c>
      <c r="G68">
        <v>55</v>
      </c>
      <c r="H68">
        <v>64</v>
      </c>
      <c r="I68">
        <v>375</v>
      </c>
      <c r="J68" t="s">
        <v>11</v>
      </c>
      <c r="K68">
        <v>-1.1000000000000001</v>
      </c>
      <c r="L68">
        <v>-1.8</v>
      </c>
      <c r="M68">
        <v>-0.4</v>
      </c>
      <c r="P68">
        <v>71049</v>
      </c>
      <c r="R68">
        <f t="shared" ref="R68:S69" si="1">(I68/P68)*100</f>
        <v>0.52780475446522823</v>
      </c>
      <c r="S68">
        <v>0.52780475446522823</v>
      </c>
    </row>
    <row r="69" spans="1:19" x14ac:dyDescent="0.3">
      <c r="A69" t="s">
        <v>93</v>
      </c>
      <c r="B69">
        <v>12133</v>
      </c>
      <c r="C69" s="1">
        <v>389.1</v>
      </c>
      <c r="D69">
        <v>358.6</v>
      </c>
      <c r="E69">
        <v>421.6</v>
      </c>
      <c r="F69">
        <v>62</v>
      </c>
      <c r="G69">
        <v>44</v>
      </c>
      <c r="H69">
        <v>65</v>
      </c>
      <c r="I69">
        <v>127</v>
      </c>
      <c r="J69" t="s">
        <v>12</v>
      </c>
      <c r="K69">
        <v>0.8</v>
      </c>
      <c r="L69">
        <v>-0.7</v>
      </c>
      <c r="M69">
        <v>2.2999999999999998</v>
      </c>
      <c r="P69">
        <v>25094</v>
      </c>
      <c r="R69">
        <f t="shared" si="1"/>
        <v>0.50609707499800749</v>
      </c>
      <c r="S69">
        <v>0.50609707499800749</v>
      </c>
    </row>
    <row r="138" spans="1:1" x14ac:dyDescent="0.3">
      <c r="A138" t="s">
        <v>14</v>
      </c>
    </row>
    <row r="140" spans="1:1" x14ac:dyDescent="0.3">
      <c r="A140" t="s">
        <v>15</v>
      </c>
    </row>
    <row r="143" spans="1:1" x14ac:dyDescent="0.3">
      <c r="A143" t="s">
        <v>16</v>
      </c>
    </row>
    <row r="144" spans="1:1" x14ac:dyDescent="0.3">
      <c r="A144" t="s">
        <v>17</v>
      </c>
    </row>
    <row r="145" spans="1:1" x14ac:dyDescent="0.3">
      <c r="A145" t="s">
        <v>18</v>
      </c>
    </row>
    <row r="146" spans="1:1" x14ac:dyDescent="0.3">
      <c r="A146" t="s">
        <v>19</v>
      </c>
    </row>
    <row r="148" spans="1:1" x14ac:dyDescent="0.3">
      <c r="A148" t="s">
        <v>20</v>
      </c>
    </row>
    <row r="149" spans="1:1" x14ac:dyDescent="0.3">
      <c r="A149" t="s">
        <v>21</v>
      </c>
    </row>
    <row r="151" spans="1:1" x14ac:dyDescent="0.3">
      <c r="A151" t="s">
        <v>22</v>
      </c>
    </row>
    <row r="153" spans="1:1" x14ac:dyDescent="0.3">
      <c r="A153" t="s">
        <v>23</v>
      </c>
    </row>
    <row r="154" spans="1:1" x14ac:dyDescent="0.3">
      <c r="A154" t="s">
        <v>24</v>
      </c>
    </row>
    <row r="156" spans="1:1" x14ac:dyDescent="0.3">
      <c r="A156" t="s">
        <v>25</v>
      </c>
    </row>
    <row r="157" spans="1:1" x14ac:dyDescent="0.3">
      <c r="A157" t="s">
        <v>26</v>
      </c>
    </row>
    <row r="158" spans="1:1" x14ac:dyDescent="0.3">
      <c r="A158" t="s">
        <v>27</v>
      </c>
    </row>
    <row r="161" spans="1:1" x14ac:dyDescent="0.3">
      <c r="A161" t="s">
        <v>28</v>
      </c>
    </row>
    <row r="163" spans="1:1" x14ac:dyDescent="0.3">
      <c r="A163" t="s">
        <v>29</v>
      </c>
    </row>
    <row r="164" spans="1:1" x14ac:dyDescent="0.3">
      <c r="A164" t="s">
        <v>30</v>
      </c>
    </row>
  </sheetData>
  <sortState xmlns:xlrd2="http://schemas.microsoft.com/office/spreadsheetml/2017/richdata2" ref="A2:M136">
    <sortCondition ref="B2:B136"/>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Cancer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Neel Patel</cp:lastModifiedBy>
  <dcterms:created xsi:type="dcterms:W3CDTF">2022-11-29T19:51:58Z</dcterms:created>
  <dcterms:modified xsi:type="dcterms:W3CDTF">2022-12-11T23:28:24Z</dcterms:modified>
</cp:coreProperties>
</file>